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1 (2)" sheetId="3" r:id="rId2"/>
    <sheet name="Sheet2" sheetId="2" r:id="rId3"/>
  </sheets>
  <calcPr calcId="152511"/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<sst xmlns="http://schemas.openxmlformats.org/spreadsheetml/2006/main" count="192" uniqueCount="51">
  <si>
    <t>S.No</t>
  </si>
  <si>
    <t>Input Prompt</t>
  </si>
  <si>
    <t>Prob.</t>
  </si>
  <si>
    <t>Preprocess time (ms)</t>
  </si>
  <si>
    <t>Inference time (ms)</t>
  </si>
  <si>
    <t>Throghput (samples/s)</t>
  </si>
  <si>
    <t>CPU usage (%)</t>
  </si>
  <si>
    <t>CPU time (s)</t>
  </si>
  <si>
    <t>Energy proxy (E)</t>
  </si>
  <si>
    <t>Memory Delta (MB)</t>
  </si>
  <si>
    <t>Current RSS (MB)</t>
  </si>
  <si>
    <t>I completed my work today and feel satisfied</t>
  </si>
  <si>
    <t>Stress Agent</t>
  </si>
  <si>
    <t>No significant stress indicators detected. Maintaining healthy routines can support continued emotional stability.</t>
  </si>
  <si>
    <t>I keep worrying about my performance and it affects my sleep</t>
  </si>
  <si>
    <t>MODERATE_STRESS</t>
  </si>
  <si>
    <t>NO_STRESS</t>
  </si>
  <si>
    <t>MAINTENANCE_AGENT</t>
  </si>
  <si>
    <t>GROUNDING_AGENT</t>
  </si>
  <si>
    <t>Moderate stress indicators detected. Brief grounding or sensory focus techniques may help restore balance</t>
  </si>
  <si>
    <t>I feel emotionally exhausted and unable to cope with daily tasks</t>
  </si>
  <si>
    <t>HIGH_STRESS</t>
  </si>
  <si>
    <t>COGNITIVE_AGENT</t>
  </si>
  <si>
    <t>Sustained stress patterns detected. Organizing thoughts step-by-step may reduce mental overload.</t>
  </si>
  <si>
    <t>Sometimes I feel like disappearing would solve everything</t>
  </si>
  <si>
    <t>CRISIS_SUPPORT_AGENT</t>
  </si>
  <si>
    <t>Potential self-harm risk detected. Seeking immediate support from a trusted person or mental health professional is advised.</t>
  </si>
  <si>
    <t>Over the last few weeks I have been feeling increasingly anxious about my job and my responsibilities. Even simple tasks feel exhausting and struggle to focus</t>
  </si>
  <si>
    <t>Moderate stress indicators detected. Brief grounding or sensory focus techniques may help restore balance.</t>
  </si>
  <si>
    <t>Today was productive and I enjoyed collaborating with my colleagues</t>
  </si>
  <si>
    <t>I spent some time reading and relaxing after finishing my work</t>
  </si>
  <si>
    <t>I enjoyed peaceful evening walk today</t>
  </si>
  <si>
    <t>I feel positive about the work I am doing</t>
  </si>
  <si>
    <t>I struggle to stay focused because my mind feels constantly stressed</t>
  </si>
  <si>
    <t>I am finding it difficult to manage my stress levels</t>
  </si>
  <si>
    <t>My workload feels heavy and it is affecting my mood</t>
  </si>
  <si>
    <t>I feel drained after dealing with so many responsibilities</t>
  </si>
  <si>
    <t>I feel mentally exhausted and hopeless about my situation</t>
  </si>
  <si>
    <t>I feel completely hopeless and alone</t>
  </si>
  <si>
    <t>My responsibilities keep increasing and I feel overwhelmed trying to manage everything at once</t>
  </si>
  <si>
    <t>I try to keep up with everything expected from me, but lately pressure feels heavier than I can comfortably handle</t>
  </si>
  <si>
    <t>My responsibilities keep piling up, and even though I continue working, I constantly feel mentally stretched</t>
  </si>
  <si>
    <t>Most days I manage my work, but internally the stress keeps building and I feel close to losing my balance</t>
  </si>
  <si>
    <t>From the outside everything seems under control, but inside I feel a steady build-up of stress that I cannot easily shake off</t>
  </si>
  <si>
    <t>Lately I keep pushing myself to finish everything, but the constant pressure is starting to feel heavier than I can mentally handle</t>
  </si>
  <si>
    <t>Agent Suggestion</t>
  </si>
  <si>
    <t>Predicted Stress Level</t>
  </si>
  <si>
    <t>Ground Truth</t>
  </si>
  <si>
    <t>Table X
Representative Edge Inference Results of the INT8 Model on Raspberry Pi</t>
  </si>
  <si>
    <t>Real-time Representative Edge Inference Results of the INT8  Model on Raspberry Pi 4 (2GB RAM)</t>
  </si>
  <si>
    <t>Agent Suggestion/Intervention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</si>
</sst>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5"/>
  <sheetViews>
    <sheetView tabSelected="1" workbookViewId="0">
      <selection activeCell="P6" sqref="P6"/>
    </sheetView>
  </sheetViews>
  <sheetFormatPr defaultRowHeight="14.4" x14ac:dyDescent="0.3"/>
  <cols>
    <col min="1" max="1" width="3.6640625" customWidth="1"/>
    <col min="2" max="2" width="4.109375" style="1" customWidth="1"/>
    <col min="3" max="3" width="40.6640625" customWidth="1"/>
    <col min="4" max="5" width="19.77734375" style="1" customWidth="1"/>
    <col min="6" max="6" width="23" style="1" customWidth="1"/>
    <col min="8" max="8" width="12.5546875" customWidth="1"/>
    <col min="10" max="10" width="10.77734375" customWidth="1"/>
    <col min="14" max="14" width="10.33203125" customWidth="1"/>
    <col min="16" max="16" width="67.77734375" customWidth="1"/>
  </cols>
  <sheetData>
    <row r="1" spans="2:19" x14ac:dyDescent="0.3">
      <c r="D1" s="10" t="s">
        <v>49</v>
      </c>
      <c r="E1" s="10"/>
      <c r="F1" s="10"/>
      <c r="G1" s="10"/>
      <c r="H1" s="10"/>
      <c r="I1" s="10"/>
      <c r="J1" s="10"/>
      <c r="K1" s="10"/>
      <c r="L1" s="10"/>
    </row>
    <row r="2" spans="2:19" ht="43.2" x14ac:dyDescent="0.3">
      <c r="B2" s="3" t="s">
        <v>0</v>
      </c>
      <c r="C2" s="3" t="s">
        <v>1</v>
      </c>
      <c r="D2" s="3" t="s">
        <v>46</v>
      </c>
      <c r="E2" s="3" t="s">
        <v>47</v>
      </c>
      <c r="F2" s="3" t="s">
        <v>12</v>
      </c>
      <c r="G2" s="3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50</v>
      </c>
    </row>
    <row r="3" spans="2:19" ht="28.8" x14ac:dyDescent="0.3">
      <c r="B3" s="5">
        <v>1</v>
      </c>
      <c r="C3" s="6" t="s">
        <v>11</v>
      </c>
      <c r="D3" s="5" t="s">
        <v>16</v>
      </c>
      <c r="E3" s="5" t="s">
        <v>16</v>
      </c>
      <c r="F3" s="5" t="s">
        <v>17</v>
      </c>
      <c r="G3" s="6">
        <v>0.72299999999999998</v>
      </c>
      <c r="H3" s="6">
        <v>139.05000000000001</v>
      </c>
      <c r="I3" s="6">
        <v>42.1</v>
      </c>
      <c r="J3" s="6">
        <v>23.76</v>
      </c>
      <c r="K3" s="6">
        <v>17.600000000000001</v>
      </c>
      <c r="L3" s="6">
        <v>0.03</v>
      </c>
      <c r="M3" s="6">
        <v>0.52800000000000002</v>
      </c>
      <c r="N3" s="6">
        <v>1.23</v>
      </c>
      <c r="O3" s="6">
        <v>141.47999999999999</v>
      </c>
      <c r="P3" s="7" t="s">
        <v>13</v>
      </c>
      <c r="Q3" s="2"/>
      <c r="R3" s="2"/>
      <c r="S3" s="2"/>
    </row>
    <row r="4" spans="2:19" ht="28.8" x14ac:dyDescent="0.3">
      <c r="B4" s="5">
        <v>2</v>
      </c>
      <c r="C4" s="7" t="s">
        <v>14</v>
      </c>
      <c r="D4" s="5" t="s">
        <v>15</v>
      </c>
      <c r="E4" s="5" t="s">
        <v>15</v>
      </c>
      <c r="F4" s="5" t="s">
        <v>18</v>
      </c>
      <c r="G4" s="6">
        <v>0.65959999999999996</v>
      </c>
      <c r="H4" s="6">
        <v>114.81</v>
      </c>
      <c r="I4" s="6">
        <v>32.479999999999997</v>
      </c>
      <c r="J4" s="6">
        <v>30.79</v>
      </c>
      <c r="K4" s="6">
        <v>21.4</v>
      </c>
      <c r="L4" s="6">
        <v>0.02</v>
      </c>
      <c r="M4" s="6">
        <v>0.42799999999999999</v>
      </c>
      <c r="N4" s="6">
        <v>0.12</v>
      </c>
      <c r="O4" s="6">
        <v>141.66999999999999</v>
      </c>
      <c r="P4" s="7" t="s">
        <v>19</v>
      </c>
      <c r="Q4" s="2"/>
      <c r="R4" s="2"/>
      <c r="S4" s="2"/>
    </row>
    <row r="5" spans="2:19" ht="28.8" x14ac:dyDescent="0.3">
      <c r="B5" s="5">
        <v>3</v>
      </c>
      <c r="C5" s="7" t="s">
        <v>20</v>
      </c>
      <c r="D5" s="5" t="s">
        <v>21</v>
      </c>
      <c r="E5" s="5" t="s">
        <v>21</v>
      </c>
      <c r="F5" s="5" t="s">
        <v>22</v>
      </c>
      <c r="G5" s="6">
        <v>0.80049999999999999</v>
      </c>
      <c r="H5" s="6">
        <v>70.650000000000006</v>
      </c>
      <c r="I5" s="6">
        <v>32.28</v>
      </c>
      <c r="J5" s="6">
        <v>30.98</v>
      </c>
      <c r="K5" s="6">
        <v>16.7</v>
      </c>
      <c r="L5" s="6">
        <v>0.03</v>
      </c>
      <c r="M5" s="6">
        <v>0.501</v>
      </c>
      <c r="N5" s="6">
        <v>0.19</v>
      </c>
      <c r="O5" s="6">
        <v>141.86000000000001</v>
      </c>
      <c r="P5" s="7" t="s">
        <v>23</v>
      </c>
      <c r="Q5" s="2"/>
      <c r="R5" s="2"/>
      <c r="S5" s="2"/>
    </row>
    <row r="6" spans="2:19" ht="28.8" x14ac:dyDescent="0.3">
      <c r="B6" s="5">
        <v>4</v>
      </c>
      <c r="C6" s="7" t="s">
        <v>24</v>
      </c>
      <c r="D6" s="5" t="s">
        <v>21</v>
      </c>
      <c r="E6" s="5" t="s">
        <v>21</v>
      </c>
      <c r="F6" s="5" t="s">
        <v>25</v>
      </c>
      <c r="G6" s="6">
        <v>0.68869999999999998</v>
      </c>
      <c r="H6" s="6">
        <v>109.46</v>
      </c>
      <c r="I6" s="6">
        <v>31.44</v>
      </c>
      <c r="J6" s="6">
        <v>31.81</v>
      </c>
      <c r="K6" s="6">
        <v>15.4</v>
      </c>
      <c r="L6" s="6">
        <v>0.03</v>
      </c>
      <c r="M6" s="6">
        <v>0.46200000000000002</v>
      </c>
      <c r="N6" s="6">
        <v>0.12</v>
      </c>
      <c r="O6" s="6">
        <v>141.97999999999999</v>
      </c>
      <c r="P6" s="7" t="s">
        <v>26</v>
      </c>
      <c r="Q6" s="2"/>
      <c r="R6" s="2"/>
      <c r="S6" s="2"/>
    </row>
    <row r="7" spans="2:19" ht="57.6" x14ac:dyDescent="0.3">
      <c r="B7" s="5">
        <v>5</v>
      </c>
      <c r="C7" s="7" t="s">
        <v>27</v>
      </c>
      <c r="D7" s="5" t="s">
        <v>15</v>
      </c>
      <c r="E7" s="5" t="s">
        <v>21</v>
      </c>
      <c r="F7" s="5" t="s">
        <v>18</v>
      </c>
      <c r="G7" s="6">
        <v>0.78969999999999996</v>
      </c>
      <c r="H7" s="6">
        <v>109.79</v>
      </c>
      <c r="I7" s="6">
        <v>40.81</v>
      </c>
      <c r="J7" s="6">
        <v>24.5</v>
      </c>
      <c r="K7" s="6">
        <v>22.2</v>
      </c>
      <c r="L7" s="6">
        <v>0.04</v>
      </c>
      <c r="M7" s="6">
        <v>0.88800000000000001</v>
      </c>
      <c r="N7" s="6">
        <v>0.06</v>
      </c>
      <c r="O7" s="6">
        <v>142.18</v>
      </c>
      <c r="P7" s="7" t="s">
        <v>28</v>
      </c>
      <c r="Q7" s="2"/>
      <c r="R7" s="2"/>
      <c r="S7" s="2"/>
    </row>
    <row r="8" spans="2:19" ht="28.8" x14ac:dyDescent="0.3">
      <c r="B8" s="5">
        <v>6</v>
      </c>
      <c r="C8" s="7" t="s">
        <v>29</v>
      </c>
      <c r="D8" s="5" t="s">
        <v>16</v>
      </c>
      <c r="E8" s="5" t="s">
        <v>16</v>
      </c>
      <c r="F8" s="5" t="s">
        <v>17</v>
      </c>
      <c r="G8" s="6">
        <v>0.65959999999999996</v>
      </c>
      <c r="H8" s="6">
        <v>83.95</v>
      </c>
      <c r="I8" s="6">
        <v>37.799999999999997</v>
      </c>
      <c r="J8" s="6">
        <v>26.45</v>
      </c>
      <c r="K8" s="6">
        <v>50</v>
      </c>
      <c r="L8" s="6">
        <v>0.03</v>
      </c>
      <c r="M8" s="6">
        <v>1.5</v>
      </c>
      <c r="N8" s="6">
        <v>0.12</v>
      </c>
      <c r="O8" s="6">
        <v>142.30000000000001</v>
      </c>
      <c r="P8" s="7" t="s">
        <v>13</v>
      </c>
      <c r="Q8" s="2"/>
      <c r="R8" s="2"/>
      <c r="S8" s="2"/>
    </row>
    <row r="9" spans="2:19" ht="28.8" x14ac:dyDescent="0.3">
      <c r="B9" s="5">
        <v>7</v>
      </c>
      <c r="C9" s="7" t="s">
        <v>30</v>
      </c>
      <c r="D9" s="5" t="s">
        <v>16</v>
      </c>
      <c r="E9" s="5" t="s">
        <v>16</v>
      </c>
      <c r="F9" s="5" t="s">
        <v>17</v>
      </c>
      <c r="G9" s="6">
        <v>0.4587</v>
      </c>
      <c r="H9" s="6">
        <v>122.61</v>
      </c>
      <c r="I9" s="6">
        <v>29.37</v>
      </c>
      <c r="J9" s="6">
        <v>34.049999999999997</v>
      </c>
      <c r="K9" s="6">
        <v>18.2</v>
      </c>
      <c r="L9" s="6">
        <v>0.03</v>
      </c>
      <c r="M9" s="6">
        <v>0.54600000000000004</v>
      </c>
      <c r="N9" s="6">
        <v>0.1</v>
      </c>
      <c r="O9" s="6">
        <v>142.4</v>
      </c>
      <c r="P9" s="7" t="s">
        <v>13</v>
      </c>
      <c r="Q9" s="2"/>
      <c r="R9" s="2"/>
      <c r="S9" s="2"/>
    </row>
    <row r="10" spans="2:19" ht="28.8" x14ac:dyDescent="0.3">
      <c r="B10" s="5">
        <v>8</v>
      </c>
      <c r="C10" s="6" t="s">
        <v>31</v>
      </c>
      <c r="D10" s="6" t="s">
        <v>15</v>
      </c>
      <c r="E10" s="5" t="s">
        <v>16</v>
      </c>
      <c r="F10" s="5" t="s">
        <v>18</v>
      </c>
      <c r="G10" s="6">
        <v>0.57389999999999997</v>
      </c>
      <c r="H10" s="6">
        <v>114.59</v>
      </c>
      <c r="I10" s="6">
        <v>26.96</v>
      </c>
      <c r="J10" s="6">
        <v>37.090000000000003</v>
      </c>
      <c r="K10" s="6">
        <v>20</v>
      </c>
      <c r="L10" s="6">
        <v>0.03</v>
      </c>
      <c r="M10" s="6">
        <v>0.6</v>
      </c>
      <c r="N10" s="6">
        <v>0</v>
      </c>
      <c r="O10" s="6">
        <v>142.4</v>
      </c>
      <c r="P10" s="7" t="s">
        <v>28</v>
      </c>
      <c r="Q10" s="2"/>
      <c r="R10" s="2"/>
      <c r="S10" s="2"/>
    </row>
    <row r="11" spans="2:19" ht="28.8" x14ac:dyDescent="0.3">
      <c r="B11" s="5">
        <v>9</v>
      </c>
      <c r="C11" s="7" t="s">
        <v>32</v>
      </c>
      <c r="D11" s="6" t="s">
        <v>15</v>
      </c>
      <c r="E11" s="5" t="s">
        <v>16</v>
      </c>
      <c r="F11" s="5" t="s">
        <v>18</v>
      </c>
      <c r="G11" s="6">
        <v>0.64459999999999995</v>
      </c>
      <c r="H11" s="8">
        <v>70.319999999999993</v>
      </c>
      <c r="I11" s="6">
        <v>27.29</v>
      </c>
      <c r="J11" s="6">
        <v>36.65</v>
      </c>
      <c r="K11" s="6">
        <v>27.3</v>
      </c>
      <c r="L11" s="6">
        <v>0.03</v>
      </c>
      <c r="M11" s="6">
        <v>0.81899999999999995</v>
      </c>
      <c r="N11" s="6">
        <v>0</v>
      </c>
      <c r="O11" s="6">
        <v>142.41</v>
      </c>
      <c r="P11" s="7" t="s">
        <v>28</v>
      </c>
      <c r="Q11" s="2"/>
      <c r="R11" s="2"/>
      <c r="S11" s="2"/>
    </row>
    <row r="12" spans="2:19" ht="28.8" x14ac:dyDescent="0.3">
      <c r="B12" s="5">
        <v>10</v>
      </c>
      <c r="C12" s="7" t="s">
        <v>33</v>
      </c>
      <c r="D12" s="6" t="s">
        <v>15</v>
      </c>
      <c r="E12" s="6" t="s">
        <v>15</v>
      </c>
      <c r="F12" s="5" t="s">
        <v>18</v>
      </c>
      <c r="G12" s="6">
        <v>0.70960000000000001</v>
      </c>
      <c r="H12" s="9">
        <v>70.55</v>
      </c>
      <c r="I12" s="6">
        <v>26.76</v>
      </c>
      <c r="J12" s="6">
        <v>37.369999999999997</v>
      </c>
      <c r="K12" s="6">
        <v>18.2</v>
      </c>
      <c r="L12" s="6">
        <v>0.03</v>
      </c>
      <c r="M12" s="6">
        <v>0.54600000000000004</v>
      </c>
      <c r="N12" s="6">
        <v>0.03</v>
      </c>
      <c r="O12" s="6">
        <v>142.43</v>
      </c>
      <c r="P12" s="7" t="s">
        <v>28</v>
      </c>
      <c r="Q12" s="2"/>
      <c r="R12" s="2"/>
      <c r="S12" s="2"/>
    </row>
    <row r="13" spans="2:19" ht="28.8" x14ac:dyDescent="0.3">
      <c r="B13" s="5">
        <v>11</v>
      </c>
      <c r="C13" s="6" t="s">
        <v>34</v>
      </c>
      <c r="D13" s="6" t="s">
        <v>15</v>
      </c>
      <c r="E13" s="6" t="s">
        <v>15</v>
      </c>
      <c r="F13" s="5" t="s">
        <v>18</v>
      </c>
      <c r="G13" s="6">
        <v>0.68869999999999998</v>
      </c>
      <c r="H13" s="6">
        <v>123.96</v>
      </c>
      <c r="I13" s="6">
        <v>28.96</v>
      </c>
      <c r="J13" s="6">
        <v>34.53</v>
      </c>
      <c r="K13" s="6">
        <v>23.1</v>
      </c>
      <c r="L13" s="6">
        <v>0.03</v>
      </c>
      <c r="M13" s="6">
        <v>0.69299999999999995</v>
      </c>
      <c r="N13" s="6">
        <v>0.12</v>
      </c>
      <c r="O13" s="6">
        <v>142.55000000000001</v>
      </c>
      <c r="P13" s="7" t="s">
        <v>28</v>
      </c>
      <c r="Q13" s="2"/>
      <c r="R13" s="2"/>
      <c r="S13" s="2"/>
    </row>
    <row r="14" spans="2:19" ht="28.8" x14ac:dyDescent="0.3">
      <c r="B14" s="5">
        <v>12</v>
      </c>
      <c r="C14" s="7" t="s">
        <v>35</v>
      </c>
      <c r="D14" s="6" t="s">
        <v>15</v>
      </c>
      <c r="E14" s="6" t="s">
        <v>15</v>
      </c>
      <c r="F14" s="5" t="s">
        <v>18</v>
      </c>
      <c r="G14" s="6">
        <v>0.62929999999999997</v>
      </c>
      <c r="H14" s="6">
        <v>73.540000000000006</v>
      </c>
      <c r="I14" s="6">
        <v>29.92</v>
      </c>
      <c r="J14" s="6">
        <v>33.43</v>
      </c>
      <c r="K14" s="6">
        <v>33.299999999999997</v>
      </c>
      <c r="L14" s="6">
        <v>0.03</v>
      </c>
      <c r="M14" s="6">
        <v>0.999</v>
      </c>
      <c r="N14" s="6">
        <v>0.09</v>
      </c>
      <c r="O14" s="6">
        <v>142.65</v>
      </c>
      <c r="P14" s="7" t="s">
        <v>28</v>
      </c>
      <c r="Q14" s="2"/>
      <c r="R14" s="2"/>
      <c r="S14" s="2"/>
    </row>
    <row r="15" spans="2:19" ht="28.8" x14ac:dyDescent="0.3">
      <c r="B15" s="5">
        <v>13</v>
      </c>
      <c r="C15" s="7" t="s">
        <v>36</v>
      </c>
      <c r="D15" s="6" t="s">
        <v>15</v>
      </c>
      <c r="E15" s="6" t="s">
        <v>15</v>
      </c>
      <c r="F15" s="5" t="s">
        <v>18</v>
      </c>
      <c r="G15" s="6">
        <v>0.66700000000000004</v>
      </c>
      <c r="H15" s="6">
        <v>116.99</v>
      </c>
      <c r="I15" s="6">
        <v>26.81</v>
      </c>
      <c r="J15" s="6">
        <v>37.299999999999997</v>
      </c>
      <c r="K15" s="6">
        <v>27.3</v>
      </c>
      <c r="L15" s="6">
        <v>0.02</v>
      </c>
      <c r="M15" s="6">
        <v>0.54600000000000004</v>
      </c>
      <c r="N15" s="6">
        <v>0.06</v>
      </c>
      <c r="O15" s="6">
        <v>142.71</v>
      </c>
      <c r="P15" s="7" t="s">
        <v>28</v>
      </c>
      <c r="Q15" s="2"/>
      <c r="R15" s="2"/>
      <c r="S15" s="2"/>
    </row>
    <row r="16" spans="2:19" ht="28.8" x14ac:dyDescent="0.3">
      <c r="B16" s="5">
        <v>14</v>
      </c>
      <c r="C16" s="7" t="s">
        <v>37</v>
      </c>
      <c r="D16" s="5" t="s">
        <v>21</v>
      </c>
      <c r="E16" s="5" t="s">
        <v>21</v>
      </c>
      <c r="F16" s="5" t="s">
        <v>22</v>
      </c>
      <c r="G16" s="6">
        <v>0.66900000000000004</v>
      </c>
      <c r="H16" s="6">
        <v>122.81</v>
      </c>
      <c r="I16" s="6">
        <v>26.82</v>
      </c>
      <c r="J16" s="6">
        <v>37.29</v>
      </c>
      <c r="K16" s="6">
        <v>20</v>
      </c>
      <c r="L16" s="6">
        <v>0.03</v>
      </c>
      <c r="M16" s="6">
        <v>0.6</v>
      </c>
      <c r="N16" s="6">
        <v>0.06</v>
      </c>
      <c r="O16" s="6">
        <v>142.77000000000001</v>
      </c>
      <c r="P16" s="7" t="s">
        <v>23</v>
      </c>
      <c r="Q16" s="2"/>
      <c r="R16" s="2"/>
      <c r="S16" s="2"/>
    </row>
    <row r="17" spans="2:19" ht="28.8" x14ac:dyDescent="0.3">
      <c r="B17" s="5">
        <v>15</v>
      </c>
      <c r="C17" s="7" t="s">
        <v>38</v>
      </c>
      <c r="D17" s="5" t="s">
        <v>15</v>
      </c>
      <c r="E17" s="5" t="s">
        <v>21</v>
      </c>
      <c r="F17" s="5" t="s">
        <v>18</v>
      </c>
      <c r="G17" s="6">
        <v>0.59799999999999998</v>
      </c>
      <c r="H17" s="6">
        <v>122.8</v>
      </c>
      <c r="I17" s="6">
        <v>26.92</v>
      </c>
      <c r="J17" s="6">
        <v>37.15</v>
      </c>
      <c r="K17" s="6">
        <v>30.8</v>
      </c>
      <c r="L17" s="6">
        <v>0.03</v>
      </c>
      <c r="M17" s="6">
        <v>0.92400000000000004</v>
      </c>
      <c r="N17" s="6">
        <v>0</v>
      </c>
      <c r="O17" s="6">
        <v>142.77000000000001</v>
      </c>
      <c r="P17" s="7" t="s">
        <v>28</v>
      </c>
      <c r="Q17" s="2"/>
      <c r="R17" s="2"/>
      <c r="S17" s="2"/>
    </row>
    <row r="18" spans="2:19" ht="43.2" x14ac:dyDescent="0.3">
      <c r="B18" s="5">
        <v>16</v>
      </c>
      <c r="C18" s="7" t="s">
        <v>39</v>
      </c>
      <c r="D18" s="5" t="s">
        <v>15</v>
      </c>
      <c r="E18" s="5" t="s">
        <v>21</v>
      </c>
      <c r="F18" s="5" t="s">
        <v>18</v>
      </c>
      <c r="G18" s="6">
        <v>0.68149999999999999</v>
      </c>
      <c r="H18" s="6">
        <v>102.18</v>
      </c>
      <c r="I18" s="6">
        <v>26.9</v>
      </c>
      <c r="J18" s="6">
        <v>37.17</v>
      </c>
      <c r="K18" s="6">
        <v>18.2</v>
      </c>
      <c r="L18" s="6">
        <v>0.03</v>
      </c>
      <c r="M18" s="6">
        <v>0.54600000000000004</v>
      </c>
      <c r="N18" s="6">
        <v>0</v>
      </c>
      <c r="O18" s="6">
        <v>142.78</v>
      </c>
      <c r="P18" s="7" t="s">
        <v>28</v>
      </c>
      <c r="Q18" s="2"/>
      <c r="R18" s="2"/>
      <c r="S18" s="2"/>
    </row>
    <row r="19" spans="2:19" ht="43.2" x14ac:dyDescent="0.3">
      <c r="B19" s="5">
        <v>17</v>
      </c>
      <c r="C19" s="7" t="s">
        <v>40</v>
      </c>
      <c r="D19" s="5" t="s">
        <v>15</v>
      </c>
      <c r="E19" s="5" t="s">
        <v>15</v>
      </c>
      <c r="F19" s="5" t="s">
        <v>18</v>
      </c>
      <c r="G19" s="6">
        <v>0.80049999999999999</v>
      </c>
      <c r="H19" s="6">
        <v>123.01</v>
      </c>
      <c r="I19" s="6">
        <v>30.48</v>
      </c>
      <c r="J19" s="6">
        <v>32.81</v>
      </c>
      <c r="K19" s="6">
        <v>18.2</v>
      </c>
      <c r="L19" s="6">
        <v>0.03</v>
      </c>
      <c r="M19" s="6">
        <v>0.54600000000000004</v>
      </c>
      <c r="N19" s="6">
        <v>0.09</v>
      </c>
      <c r="O19" s="6">
        <v>142.83000000000001</v>
      </c>
      <c r="P19" s="7" t="s">
        <v>28</v>
      </c>
      <c r="Q19" s="2"/>
      <c r="R19" s="2"/>
      <c r="S19" s="2"/>
    </row>
    <row r="20" spans="2:19" ht="43.2" x14ac:dyDescent="0.3">
      <c r="B20" s="5">
        <v>18</v>
      </c>
      <c r="C20" s="7" t="s">
        <v>41</v>
      </c>
      <c r="D20" s="5" t="s">
        <v>15</v>
      </c>
      <c r="E20" s="5" t="s">
        <v>21</v>
      </c>
      <c r="F20" s="5" t="s">
        <v>18</v>
      </c>
      <c r="G20" s="6">
        <v>0.84819999999999995</v>
      </c>
      <c r="H20" s="6">
        <v>71.53</v>
      </c>
      <c r="I20" s="6">
        <v>30.38</v>
      </c>
      <c r="J20" s="6">
        <v>32.92</v>
      </c>
      <c r="K20" s="6">
        <v>15.4</v>
      </c>
      <c r="L20" s="6">
        <v>0.03</v>
      </c>
      <c r="M20" s="6">
        <v>0.46200000000000002</v>
      </c>
      <c r="N20" s="6">
        <v>0.06</v>
      </c>
      <c r="O20" s="6">
        <v>142.91999999999999</v>
      </c>
      <c r="P20" s="7" t="s">
        <v>28</v>
      </c>
      <c r="Q20" s="2"/>
      <c r="R20" s="2"/>
      <c r="S20" s="2"/>
    </row>
    <row r="21" spans="2:19" ht="43.2" x14ac:dyDescent="0.3">
      <c r="B21" s="5">
        <v>19</v>
      </c>
      <c r="C21" s="7" t="s">
        <v>42</v>
      </c>
      <c r="D21" s="5" t="s">
        <v>21</v>
      </c>
      <c r="E21" s="5" t="s">
        <v>15</v>
      </c>
      <c r="F21" s="5" t="s">
        <v>22</v>
      </c>
      <c r="G21" s="6">
        <v>0.872</v>
      </c>
      <c r="H21" s="6">
        <v>107.22</v>
      </c>
      <c r="I21" s="6">
        <v>29.79</v>
      </c>
      <c r="J21" s="6">
        <v>33.56</v>
      </c>
      <c r="K21" s="6">
        <v>18.2</v>
      </c>
      <c r="L21" s="6">
        <v>0.03</v>
      </c>
      <c r="M21" s="6">
        <v>0.81899999999999995</v>
      </c>
      <c r="N21" s="6">
        <v>0</v>
      </c>
      <c r="O21" s="6">
        <v>142.97999999999999</v>
      </c>
      <c r="P21" s="7" t="s">
        <v>28</v>
      </c>
      <c r="Q21" s="2"/>
      <c r="R21" s="2"/>
      <c r="S21" s="2"/>
    </row>
    <row r="22" spans="2:19" ht="43.2" x14ac:dyDescent="0.3">
      <c r="B22" s="5">
        <v>20</v>
      </c>
      <c r="C22" s="7" t="s">
        <v>43</v>
      </c>
      <c r="D22" s="5" t="s">
        <v>15</v>
      </c>
      <c r="E22" s="5" t="s">
        <v>15</v>
      </c>
      <c r="F22" s="5" t="s">
        <v>18</v>
      </c>
      <c r="G22" s="6">
        <v>0.83030000000000004</v>
      </c>
      <c r="H22" s="6">
        <v>111.7</v>
      </c>
      <c r="I22" s="6">
        <v>26.8</v>
      </c>
      <c r="J22" s="6">
        <v>37.31</v>
      </c>
      <c r="K22" s="6">
        <v>27.3</v>
      </c>
      <c r="L22" s="6">
        <v>0.03</v>
      </c>
      <c r="M22" s="6">
        <v>0.81899999999999995</v>
      </c>
      <c r="N22" s="6">
        <v>0</v>
      </c>
      <c r="O22" s="6">
        <v>142.99</v>
      </c>
      <c r="P22" s="7" t="s">
        <v>28</v>
      </c>
      <c r="Q22" s="2"/>
      <c r="R22" s="2"/>
      <c r="S22" s="2"/>
    </row>
    <row r="23" spans="2:19" ht="43.2" x14ac:dyDescent="0.3">
      <c r="B23" s="5">
        <v>21</v>
      </c>
      <c r="C23" s="7" t="s">
        <v>44</v>
      </c>
      <c r="D23" s="5" t="s">
        <v>15</v>
      </c>
      <c r="E23" s="5" t="s">
        <v>21</v>
      </c>
      <c r="F23" s="5" t="s">
        <v>18</v>
      </c>
      <c r="G23" s="6">
        <v>0.80049999999999999</v>
      </c>
      <c r="H23" s="6">
        <v>127.44</v>
      </c>
      <c r="I23" s="6">
        <v>26.76</v>
      </c>
      <c r="J23" s="6">
        <v>37.369999999999997</v>
      </c>
      <c r="K23" s="6">
        <v>27.3</v>
      </c>
      <c r="L23" s="6">
        <v>0.03</v>
      </c>
      <c r="M23" s="6">
        <v>0.81899999999999995</v>
      </c>
      <c r="N23" s="6">
        <v>0</v>
      </c>
      <c r="O23" s="6">
        <v>142.99</v>
      </c>
      <c r="P23" s="7" t="s">
        <v>28</v>
      </c>
      <c r="Q23" s="2"/>
      <c r="R23" s="2"/>
      <c r="S23" s="2"/>
    </row>
    <row r="25" spans="2:19" x14ac:dyDescent="0.3">
      <c r="H25">
        <f>AVERAGE(H3:H23)</f>
        <v>105.18857142857144</v>
      </c>
    </row>
  </sheetData>
  <mergeCells count="1">
    <mergeCell ref="D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3"/>
  <sheetViews>
    <sheetView workbookViewId="0">
      <selection activeCell="H15" sqref="H15"/>
    </sheetView>
  </sheetViews>
  <sheetFormatPr defaultRowHeight="14.4" x14ac:dyDescent="0.3"/>
  <cols>
    <col min="1" max="1" width="3.6640625" customWidth="1"/>
    <col min="2" max="2" width="4.109375" style="1" customWidth="1"/>
    <col min="3" max="3" width="40.6640625" customWidth="1"/>
    <col min="4" max="5" width="19.77734375" style="1" customWidth="1"/>
    <col min="6" max="6" width="23" style="1" customWidth="1"/>
    <col min="8" max="8" width="12.5546875" customWidth="1"/>
    <col min="10" max="10" width="10.77734375" customWidth="1"/>
    <col min="14" max="14" width="10.33203125" customWidth="1"/>
    <col min="16" max="16" width="67.77734375" customWidth="1"/>
  </cols>
  <sheetData>
    <row r="1" spans="2:19" ht="43.8" customHeight="1" x14ac:dyDescent="0.3">
      <c r="D1" s="11" t="s">
        <v>48</v>
      </c>
      <c r="E1" s="10"/>
      <c r="F1" s="10"/>
      <c r="G1" s="10"/>
      <c r="H1" s="10"/>
      <c r="I1" s="10"/>
      <c r="J1" s="10"/>
      <c r="K1" s="10"/>
      <c r="L1" s="10"/>
    </row>
    <row r="2" spans="2:19" ht="43.2" x14ac:dyDescent="0.3">
      <c r="B2" s="3" t="s">
        <v>0</v>
      </c>
      <c r="C2" s="3" t="s">
        <v>1</v>
      </c>
      <c r="D2" s="3" t="s">
        <v>46</v>
      </c>
      <c r="E2" s="3" t="s">
        <v>47</v>
      </c>
      <c r="F2" s="3" t="s">
        <v>12</v>
      </c>
      <c r="G2" s="3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45</v>
      </c>
    </row>
    <row r="3" spans="2:19" ht="28.8" x14ac:dyDescent="0.3">
      <c r="B3" s="5">
        <v>1</v>
      </c>
      <c r="C3" s="6" t="s">
        <v>11</v>
      </c>
      <c r="D3" s="5" t="s">
        <v>16</v>
      </c>
      <c r="E3" s="5" t="s">
        <v>16</v>
      </c>
      <c r="F3" s="5" t="s">
        <v>17</v>
      </c>
      <c r="G3" s="6">
        <v>0.72299999999999998</v>
      </c>
      <c r="H3" s="6">
        <v>139.05000000000001</v>
      </c>
      <c r="I3" s="6">
        <v>42.1</v>
      </c>
      <c r="J3" s="6">
        <v>23.76</v>
      </c>
      <c r="K3" s="6">
        <v>17.600000000000001</v>
      </c>
      <c r="L3" s="6">
        <v>0.03</v>
      </c>
      <c r="M3" s="6">
        <v>0.52800000000000002</v>
      </c>
      <c r="N3" s="6">
        <v>1.23</v>
      </c>
      <c r="O3" s="6">
        <v>141.47999999999999</v>
      </c>
      <c r="P3" s="7" t="s">
        <v>13</v>
      </c>
      <c r="Q3" s="2"/>
      <c r="R3" s="2"/>
      <c r="S3" s="2"/>
    </row>
    <row r="4" spans="2:19" ht="28.8" x14ac:dyDescent="0.3">
      <c r="B4" s="5">
        <v>2</v>
      </c>
      <c r="C4" s="7" t="s">
        <v>14</v>
      </c>
      <c r="D4" s="5" t="s">
        <v>15</v>
      </c>
      <c r="E4" s="5" t="s">
        <v>15</v>
      </c>
      <c r="F4" s="5" t="s">
        <v>18</v>
      </c>
      <c r="G4" s="6">
        <v>0.65959999999999996</v>
      </c>
      <c r="H4" s="6">
        <v>114.81</v>
      </c>
      <c r="I4" s="6">
        <v>32.479999999999997</v>
      </c>
      <c r="J4" s="6">
        <v>30.79</v>
      </c>
      <c r="K4" s="6">
        <v>21.4</v>
      </c>
      <c r="L4" s="6">
        <v>0.02</v>
      </c>
      <c r="M4" s="6">
        <v>0.42799999999999999</v>
      </c>
      <c r="N4" s="6">
        <v>0.12</v>
      </c>
      <c r="O4" s="6">
        <v>141.66999999999999</v>
      </c>
      <c r="P4" s="7" t="s">
        <v>19</v>
      </c>
      <c r="Q4" s="2"/>
      <c r="R4" s="2"/>
      <c r="S4" s="2"/>
    </row>
    <row r="5" spans="2:19" ht="28.8" x14ac:dyDescent="0.3">
      <c r="B5" s="5">
        <v>3</v>
      </c>
      <c r="C5" s="7" t="s">
        <v>20</v>
      </c>
      <c r="D5" s="5" t="s">
        <v>21</v>
      </c>
      <c r="E5" s="5" t="s">
        <v>21</v>
      </c>
      <c r="F5" s="5" t="s">
        <v>22</v>
      </c>
      <c r="G5" s="6">
        <v>0.80049999999999999</v>
      </c>
      <c r="H5" s="6">
        <v>70.650000000000006</v>
      </c>
      <c r="I5" s="6">
        <v>32.28</v>
      </c>
      <c r="J5" s="6">
        <v>30.98</v>
      </c>
      <c r="K5" s="6">
        <v>16.7</v>
      </c>
      <c r="L5" s="6">
        <v>0.03</v>
      </c>
      <c r="M5" s="6">
        <v>0.501</v>
      </c>
      <c r="N5" s="6">
        <v>0.19</v>
      </c>
      <c r="O5" s="6">
        <v>141.86000000000001</v>
      </c>
      <c r="P5" s="7" t="s">
        <v>23</v>
      </c>
      <c r="Q5" s="2"/>
      <c r="R5" s="2"/>
      <c r="S5" s="2"/>
    </row>
    <row r="6" spans="2:19" ht="28.8" x14ac:dyDescent="0.3">
      <c r="B6" s="5">
        <v>4</v>
      </c>
      <c r="C6" s="7" t="s">
        <v>24</v>
      </c>
      <c r="D6" s="5" t="s">
        <v>21</v>
      </c>
      <c r="E6" s="5" t="s">
        <v>21</v>
      </c>
      <c r="F6" s="5" t="s">
        <v>25</v>
      </c>
      <c r="G6" s="6">
        <v>0.68869999999999998</v>
      </c>
      <c r="H6" s="6">
        <v>109.46</v>
      </c>
      <c r="I6" s="6">
        <v>31.44</v>
      </c>
      <c r="J6" s="6">
        <v>31.81</v>
      </c>
      <c r="K6" s="6">
        <v>15.4</v>
      </c>
      <c r="L6" s="6">
        <v>0.03</v>
      </c>
      <c r="M6" s="6">
        <v>0.46200000000000002</v>
      </c>
      <c r="N6" s="6">
        <v>0.12</v>
      </c>
      <c r="O6" s="6">
        <v>141.97999999999999</v>
      </c>
      <c r="P6" s="7" t="s">
        <v>26</v>
      </c>
      <c r="Q6" s="2"/>
      <c r="R6" s="2"/>
      <c r="S6" s="2"/>
    </row>
    <row r="7" spans="2:19" ht="28.8" x14ac:dyDescent="0.3">
      <c r="B7" s="5">
        <v>8</v>
      </c>
      <c r="C7" s="6" t="s">
        <v>31</v>
      </c>
      <c r="D7" s="6" t="s">
        <v>15</v>
      </c>
      <c r="E7" s="5" t="s">
        <v>16</v>
      </c>
      <c r="F7" s="5" t="s">
        <v>18</v>
      </c>
      <c r="G7" s="6">
        <v>0.57389999999999997</v>
      </c>
      <c r="H7" s="6">
        <v>114.59</v>
      </c>
      <c r="I7" s="6">
        <v>26.96</v>
      </c>
      <c r="J7" s="6">
        <v>37.090000000000003</v>
      </c>
      <c r="K7" s="6">
        <v>20</v>
      </c>
      <c r="L7" s="6">
        <v>0.03</v>
      </c>
      <c r="M7" s="6">
        <v>0.6</v>
      </c>
      <c r="N7" s="6">
        <v>0</v>
      </c>
      <c r="O7" s="6">
        <v>142.4</v>
      </c>
      <c r="P7" s="7" t="s">
        <v>28</v>
      </c>
      <c r="Q7" s="2"/>
      <c r="R7" s="2"/>
      <c r="S7" s="2"/>
    </row>
    <row r="8" spans="2:19" ht="28.8" x14ac:dyDescent="0.3">
      <c r="B8" s="5">
        <v>12</v>
      </c>
      <c r="C8" s="7" t="s">
        <v>35</v>
      </c>
      <c r="D8" s="6" t="s">
        <v>15</v>
      </c>
      <c r="E8" s="6" t="s">
        <v>15</v>
      </c>
      <c r="F8" s="5" t="s">
        <v>18</v>
      </c>
      <c r="G8" s="6">
        <v>0.62929999999999997</v>
      </c>
      <c r="H8" s="6">
        <v>73.540000000000006</v>
      </c>
      <c r="I8" s="6">
        <v>29.92</v>
      </c>
      <c r="J8" s="6">
        <v>33.43</v>
      </c>
      <c r="K8" s="6">
        <v>33.299999999999997</v>
      </c>
      <c r="L8" s="6">
        <v>0.03</v>
      </c>
      <c r="M8" s="6">
        <v>0.999</v>
      </c>
      <c r="N8" s="6">
        <v>0.09</v>
      </c>
      <c r="O8" s="6">
        <v>142.65</v>
      </c>
      <c r="P8" s="7" t="s">
        <v>28</v>
      </c>
      <c r="Q8" s="2"/>
      <c r="R8" s="2"/>
      <c r="S8" s="2"/>
    </row>
    <row r="9" spans="2:19" ht="28.8" x14ac:dyDescent="0.3">
      <c r="B9" s="5">
        <v>13</v>
      </c>
      <c r="C9" s="7" t="s">
        <v>36</v>
      </c>
      <c r="D9" s="6" t="s">
        <v>15</v>
      </c>
      <c r="E9" s="6" t="s">
        <v>15</v>
      </c>
      <c r="F9" s="5" t="s">
        <v>18</v>
      </c>
      <c r="G9" s="6">
        <v>0.66700000000000004</v>
      </c>
      <c r="H9" s="6">
        <v>116.99</v>
      </c>
      <c r="I9" s="6">
        <v>26.81</v>
      </c>
      <c r="J9" s="6">
        <v>37.299999999999997</v>
      </c>
      <c r="K9" s="6">
        <v>27.3</v>
      </c>
      <c r="L9" s="6">
        <v>0.02</v>
      </c>
      <c r="M9" s="6">
        <v>0.54600000000000004</v>
      </c>
      <c r="N9" s="6">
        <v>0.06</v>
      </c>
      <c r="O9" s="6">
        <v>142.71</v>
      </c>
      <c r="P9" s="7" t="s">
        <v>28</v>
      </c>
      <c r="Q9" s="2"/>
      <c r="R9" s="2"/>
      <c r="S9" s="2"/>
    </row>
    <row r="10" spans="2:19" ht="28.8" x14ac:dyDescent="0.3">
      <c r="B10" s="5">
        <v>14</v>
      </c>
      <c r="C10" s="7" t="s">
        <v>37</v>
      </c>
      <c r="D10" s="5" t="s">
        <v>21</v>
      </c>
      <c r="E10" s="5" t="s">
        <v>21</v>
      </c>
      <c r="F10" s="5" t="s">
        <v>22</v>
      </c>
      <c r="G10" s="6">
        <v>0.66900000000000004</v>
      </c>
      <c r="H10" s="6">
        <v>122.81</v>
      </c>
      <c r="I10" s="6">
        <v>26.82</v>
      </c>
      <c r="J10" s="6">
        <v>37.29</v>
      </c>
      <c r="K10" s="6">
        <v>20</v>
      </c>
      <c r="L10" s="6">
        <v>0.03</v>
      </c>
      <c r="M10" s="6">
        <v>0.6</v>
      </c>
      <c r="N10" s="6">
        <v>0.06</v>
      </c>
      <c r="O10" s="6">
        <v>142.77000000000001</v>
      </c>
      <c r="P10" s="7" t="s">
        <v>23</v>
      </c>
      <c r="Q10" s="2"/>
      <c r="R10" s="2"/>
      <c r="S10" s="2"/>
    </row>
    <row r="11" spans="2:19" ht="28.8" x14ac:dyDescent="0.3">
      <c r="B11" s="5">
        <v>15</v>
      </c>
      <c r="C11" s="7" t="s">
        <v>38</v>
      </c>
      <c r="D11" s="5" t="s">
        <v>15</v>
      </c>
      <c r="E11" s="5" t="s">
        <v>21</v>
      </c>
      <c r="F11" s="5" t="s">
        <v>18</v>
      </c>
      <c r="G11" s="6">
        <v>0.59799999999999998</v>
      </c>
      <c r="H11" s="6">
        <v>122.8</v>
      </c>
      <c r="I11" s="6">
        <v>26.92</v>
      </c>
      <c r="J11" s="6">
        <v>37.15</v>
      </c>
      <c r="K11" s="6">
        <v>30.8</v>
      </c>
      <c r="L11" s="6">
        <v>0.03</v>
      </c>
      <c r="M11" s="6">
        <v>0.92400000000000004</v>
      </c>
      <c r="N11" s="6">
        <v>0</v>
      </c>
      <c r="O11" s="6">
        <v>142.77000000000001</v>
      </c>
      <c r="P11" s="7" t="s">
        <v>28</v>
      </c>
      <c r="Q11" s="2"/>
      <c r="R11" s="2"/>
      <c r="S11" s="2"/>
    </row>
    <row r="12" spans="2:19" ht="43.2" x14ac:dyDescent="0.3">
      <c r="B12" s="5">
        <v>17</v>
      </c>
      <c r="C12" s="7" t="s">
        <v>40</v>
      </c>
      <c r="D12" s="5" t="s">
        <v>15</v>
      </c>
      <c r="E12" s="5" t="s">
        <v>15</v>
      </c>
      <c r="F12" s="5" t="s">
        <v>18</v>
      </c>
      <c r="G12" s="6">
        <v>0.80049999999999999</v>
      </c>
      <c r="H12" s="6">
        <v>123.01</v>
      </c>
      <c r="I12" s="6">
        <v>30.48</v>
      </c>
      <c r="J12" s="6">
        <v>32.81</v>
      </c>
      <c r="K12" s="6">
        <v>18.2</v>
      </c>
      <c r="L12" s="6">
        <v>0.03</v>
      </c>
      <c r="M12" s="6">
        <v>0.54600000000000004</v>
      </c>
      <c r="N12" s="6">
        <v>0.09</v>
      </c>
      <c r="O12" s="6">
        <v>142.83000000000001</v>
      </c>
      <c r="P12" s="7" t="s">
        <v>28</v>
      </c>
      <c r="Q12" s="2"/>
      <c r="R12" s="2"/>
      <c r="S12" s="2"/>
    </row>
    <row r="13" spans="2:19" ht="43.2" x14ac:dyDescent="0.3">
      <c r="B13" s="5">
        <v>18</v>
      </c>
      <c r="C13" s="7" t="s">
        <v>41</v>
      </c>
      <c r="D13" s="5" t="s">
        <v>15</v>
      </c>
      <c r="E13" s="5" t="s">
        <v>21</v>
      </c>
      <c r="F13" s="5" t="s">
        <v>18</v>
      </c>
      <c r="G13" s="6">
        <v>0.84819999999999995</v>
      </c>
      <c r="H13" s="6">
        <v>71.53</v>
      </c>
      <c r="I13" s="6">
        <v>30.38</v>
      </c>
      <c r="J13" s="6">
        <v>32.92</v>
      </c>
      <c r="K13" s="6">
        <v>15.4</v>
      </c>
      <c r="L13" s="6">
        <v>0.03</v>
      </c>
      <c r="M13" s="6">
        <v>0.46200000000000002</v>
      </c>
      <c r="N13" s="6">
        <v>0.06</v>
      </c>
      <c r="O13" s="6">
        <v>142.91999999999999</v>
      </c>
      <c r="P13" s="7" t="s">
        <v>28</v>
      </c>
      <c r="Q13" s="2"/>
      <c r="R13" s="2"/>
      <c r="S13" s="2"/>
    </row>
  </sheetData>
  <mergeCells count="1">
    <mergeCell ref="D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2026-04-18T07:20:44Z</dcterms:modified>
</cp:coreProperties>
</file>